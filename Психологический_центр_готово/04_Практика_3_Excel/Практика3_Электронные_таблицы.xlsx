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1" sheetId="1" state="visible" r:id="rId1"/>
    <sheet xmlns:r="http://schemas.openxmlformats.org/officeDocument/2006/relationships" name="Задание 2" sheetId="2" state="visible" r:id="rId2"/>
    <sheet xmlns:r="http://schemas.openxmlformats.org/officeDocument/2006/relationships" name="Задание 3" sheetId="3" state="visible" r:id="rId3"/>
    <sheet xmlns:r="http://schemas.openxmlformats.org/officeDocument/2006/relationships" name="Задание 4" sheetId="4" state="visible" r:id="rId4"/>
    <sheet xmlns:r="http://schemas.openxmlformats.org/officeDocument/2006/relationships" name="Задание 5" sheetId="5" state="visible" r:id="rId5"/>
    <sheet xmlns:r="http://schemas.openxmlformats.org/officeDocument/2006/relationships" name="Задание 6" sheetId="6" state="visible" r:id="rId6"/>
    <sheet xmlns:r="http://schemas.openxmlformats.org/officeDocument/2006/relationships" name="Задание 7" sheetId="7" state="visible" r:id="rId7"/>
    <sheet xmlns:r="http://schemas.openxmlformats.org/officeDocument/2006/relationships" name="Задание 8" sheetId="8" state="visible" r:id="rId8"/>
    <sheet xmlns:r="http://schemas.openxmlformats.org/officeDocument/2006/relationships" name="Задание 9" sheetId="9" state="visible" r:id="rId9"/>
    <sheet xmlns:r="http://schemas.openxmlformats.org/officeDocument/2006/relationships" name="Задание 10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 &quot;руб.&quot;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CEAF7"/>
      </patternFill>
    </fill>
  </fills>
  <borders count="2">
    <border>
      <left/>
      <right/>
      <top/>
      <bottom/>
      <diagonal/>
    </border>
    <border>
      <left style="thin">
        <color rgb="008A8F98"/>
      </left>
      <right style="thin">
        <color rgb="008A8F98"/>
      </right>
      <top style="thin">
        <color rgb="008A8F98"/>
      </top>
      <bottom style="thin">
        <color rgb="008A8F9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166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Численность студентов из расчета на 1000 человек населения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'Задание 10'!C1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10'!$B$2:$B$5</f>
            </numRef>
          </cat>
          <val>
            <numRef>
              <f>'Задание 10'!$C$2:$C$5</f>
            </numRef>
          </val>
        </ser>
        <ser>
          <idx val="1"/>
          <order val="1"/>
          <tx>
            <strRef>
              <f>'Задание 10'!D1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10'!$B$2:$B$5</f>
            </numRef>
          </cat>
          <val>
            <numRef>
              <f>'Задание 10'!$D$2:$D$5</f>
            </numRef>
          </val>
        </ser>
        <ser>
          <idx val="2"/>
          <order val="2"/>
          <tx>
            <strRef>
              <f>'Задание 10'!E1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10'!$B$2:$B$5</f>
            </numRef>
          </cat>
          <val>
            <numRef>
              <f>'Задание 10'!$E$2:$E$5</f>
            </numRef>
          </val>
        </ser>
        <ser>
          <idx val="3"/>
          <order val="3"/>
          <tx>
            <strRef>
              <f>'Задание 10'!F1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10'!$B$2:$B$5</f>
            </numRef>
          </cat>
          <val>
            <numRef>
              <f>'Задание 10'!$F$2:$F$5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Группа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Студентов на 1000 человек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8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x</t>
        </is>
      </c>
      <c r="B2" s="2" t="n">
        <v>3</v>
      </c>
    </row>
    <row r="3">
      <c r="A3" s="2" t="inlineStr">
        <is>
          <t>y</t>
        </is>
      </c>
      <c r="B3" s="2" t="n">
        <v>4</v>
      </c>
    </row>
    <row r="4"/>
    <row r="5">
      <c r="A5" s="1" t="inlineStr">
        <is>
          <t>Вариант</t>
        </is>
      </c>
      <c r="B5" s="1" t="inlineStr">
        <is>
          <t>Формула Excel</t>
        </is>
      </c>
      <c r="C5" s="1" t="inlineStr">
        <is>
          <t>Расчет</t>
        </is>
      </c>
      <c r="D5" s="1" t="inlineStr">
        <is>
          <t>Ожидаемый ответ</t>
        </is>
      </c>
    </row>
    <row r="6">
      <c r="A6" s="2" t="inlineStr">
        <is>
          <t>а</t>
        </is>
      </c>
      <c r="B6" s="2">
        <f>B2^2+(B2+B3)/B3</f>
        <v/>
      </c>
      <c r="C6" s="3">
        <f>B2^2+(B2+B3)/B3</f>
        <v/>
      </c>
      <c r="D6" s="2" t="n">
        <v>10.75</v>
      </c>
    </row>
    <row r="7">
      <c r="A7" s="2" t="inlineStr">
        <is>
          <t>б</t>
        </is>
      </c>
      <c r="B7" s="2">
        <f>((B2+1)^2)/(2*(B3-1))+((B3+B2)^2)/(2*B3)</f>
        <v/>
      </c>
      <c r="C7" s="3">
        <f>((B2+1)^2)/(2*(B3-1))+((B3+B2)^2)/(2*B3)</f>
        <v/>
      </c>
      <c r="D7" s="2" t="n">
        <v>8.791700000000001</v>
      </c>
    </row>
    <row r="8">
      <c r="A8" s="2" t="inlineStr">
        <is>
          <t>в</t>
        </is>
      </c>
      <c r="B8" s="2">
        <f>(B3-B2+(B2^2+B3)/(B3-B2))/(B2^2+B3^2+(B3*(B2+1))/(4-B2))</f>
        <v/>
      </c>
      <c r="C8" s="3">
        <f>(B3-B2+(B2^2+B3)/(B3-B2))/(B2^2+B3^2+(B3*(B2+1))/(4-B2))</f>
        <v/>
      </c>
      <c r="D8" s="2" t="n">
        <v>0.3415</v>
      </c>
    </row>
  </sheetData>
  <pageMargins left="0.4" right="0.4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</cols>
  <sheetData>
    <row r="1">
      <c r="A1" s="1" t="inlineStr">
        <is>
          <t>x</t>
        </is>
      </c>
      <c r="B1" s="1" t="inlineStr">
        <is>
          <t>(x-1)^2</t>
        </is>
      </c>
      <c r="C1" s="1" t="inlineStr">
        <is>
          <t>x^2-1</t>
        </is>
      </c>
    </row>
    <row r="2">
      <c r="A2" s="2" t="n">
        <v>1</v>
      </c>
      <c r="B2" s="2">
        <f>(A2-1)^2</f>
        <v/>
      </c>
      <c r="C2" s="2">
        <f>A2^2-1</f>
        <v/>
      </c>
    </row>
    <row r="3">
      <c r="A3" s="2" t="n">
        <v>2</v>
      </c>
      <c r="B3" s="2">
        <f>(A3-1)^2</f>
        <v/>
      </c>
      <c r="C3" s="2">
        <f>A3^2-1</f>
        <v/>
      </c>
    </row>
    <row r="4">
      <c r="A4" s="2" t="n">
        <v>3</v>
      </c>
      <c r="B4" s="2">
        <f>(A4-1)^2</f>
        <v/>
      </c>
      <c r="C4" s="2">
        <f>A4^2-1</f>
        <v/>
      </c>
    </row>
    <row r="5">
      <c r="A5" s="2" t="n">
        <v>4</v>
      </c>
      <c r="B5" s="2">
        <f>(A5-1)^2</f>
        <v/>
      </c>
      <c r="C5" s="2">
        <f>A5^2-1</f>
        <v/>
      </c>
    </row>
    <row r="6">
      <c r="A6" s="2" t="n">
        <v>5</v>
      </c>
      <c r="B6" s="2">
        <f>(A6-1)^2</f>
        <v/>
      </c>
      <c r="C6" s="2">
        <f>A6^2-1</f>
        <v/>
      </c>
    </row>
    <row r="7">
      <c r="A7" s="2" t="n">
        <v>6</v>
      </c>
      <c r="B7" s="2">
        <f>(A7-1)^2</f>
        <v/>
      </c>
      <c r="C7" s="2">
        <f>A7^2-1</f>
        <v/>
      </c>
    </row>
    <row r="8">
      <c r="A8" s="2" t="n">
        <v>7</v>
      </c>
      <c r="B8" s="2">
        <f>(A8-1)^2</f>
        <v/>
      </c>
      <c r="C8" s="2">
        <f>A8^2-1</f>
        <v/>
      </c>
    </row>
    <row r="9">
      <c r="A9" s="2" t="n">
        <v>8</v>
      </c>
      <c r="B9" s="2">
        <f>(A9-1)^2</f>
        <v/>
      </c>
      <c r="C9" s="2">
        <f>A9^2-1</f>
        <v/>
      </c>
    </row>
    <row r="10">
      <c r="A10" s="2" t="n">
        <v>9</v>
      </c>
      <c r="B10" s="2">
        <f>(A10-1)^2</f>
        <v/>
      </c>
      <c r="C10" s="2">
        <f>A10^2-1</f>
        <v/>
      </c>
    </row>
    <row r="11">
      <c r="A11" s="2" t="n">
        <v>10</v>
      </c>
      <c r="B11" s="2">
        <f>(A11-1)^2</f>
        <v/>
      </c>
      <c r="C11" s="2">
        <f>A11^2-1</f>
        <v/>
      </c>
    </row>
  </sheetData>
  <pageMargins left="0.4" right="0.4" top="0.5" bottom="0.5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Элемент</t>
        </is>
      </c>
      <c r="B1" s="1" t="inlineStr">
        <is>
          <t>Значение</t>
        </is>
      </c>
    </row>
    <row r="2">
      <c r="A2" s="2" t="inlineStr">
        <is>
          <t>F1</t>
        </is>
      </c>
      <c r="B2" s="2" t="n">
        <v>1</v>
      </c>
    </row>
    <row r="3">
      <c r="A3" s="2" t="inlineStr">
        <is>
          <t>F2</t>
        </is>
      </c>
      <c r="B3" s="2">
        <f>3*B2-1</f>
        <v/>
      </c>
    </row>
    <row r="4">
      <c r="A4" s="2" t="inlineStr">
        <is>
          <t>F3</t>
        </is>
      </c>
      <c r="B4" s="2">
        <f>3*B3-1</f>
        <v/>
      </c>
    </row>
    <row r="5">
      <c r="A5" s="2" t="inlineStr">
        <is>
          <t>F4</t>
        </is>
      </c>
      <c r="B5" s="2">
        <f>3*B4-1</f>
        <v/>
      </c>
    </row>
    <row r="6">
      <c r="A6" s="2" t="inlineStr">
        <is>
          <t>F5</t>
        </is>
      </c>
      <c r="B6" s="2">
        <f>3*B5-1</f>
        <v/>
      </c>
    </row>
    <row r="7">
      <c r="A7" s="2" t="inlineStr">
        <is>
          <t>F6</t>
        </is>
      </c>
      <c r="B7" s="2">
        <f>3*B6-1</f>
        <v/>
      </c>
    </row>
    <row r="8">
      <c r="A8" s="2" t="inlineStr">
        <is>
          <t>F7</t>
        </is>
      </c>
      <c r="B8" s="2">
        <f>3*B7-1</f>
        <v/>
      </c>
    </row>
    <row r="9">
      <c r="A9" s="2" t="inlineStr">
        <is>
          <t>F8</t>
        </is>
      </c>
      <c r="B9" s="2">
        <f>3*B8-1</f>
        <v/>
      </c>
    </row>
    <row r="10">
      <c r="A10" s="2" t="inlineStr">
        <is>
          <t>F9</t>
        </is>
      </c>
      <c r="B10" s="2">
        <f>3*B9-1</f>
        <v/>
      </c>
    </row>
    <row r="11">
      <c r="A11" s="2" t="inlineStr">
        <is>
          <t>F10</t>
        </is>
      </c>
      <c r="B11" s="2">
        <f>3*B10-1</f>
        <v/>
      </c>
    </row>
  </sheetData>
  <pageMargins left="0.4" right="0.4" top="0.5" bottom="0.5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*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2" t="n">
        <v>1</v>
      </c>
      <c r="B2" s="2">
        <f>$A2*B$1</f>
        <v/>
      </c>
      <c r="C2" s="2">
        <f>$A2*C$1</f>
        <v/>
      </c>
      <c r="D2" s="2">
        <f>$A2*D$1</f>
        <v/>
      </c>
      <c r="E2" s="2">
        <f>$A2*E$1</f>
        <v/>
      </c>
      <c r="F2" s="2">
        <f>$A2*F$1</f>
        <v/>
      </c>
    </row>
    <row r="3">
      <c r="A3" s="2" t="n">
        <v>2</v>
      </c>
      <c r="B3" s="2">
        <f>$A3*B$1</f>
        <v/>
      </c>
      <c r="C3" s="2">
        <f>$A3*C$1</f>
        <v/>
      </c>
      <c r="D3" s="2">
        <f>$A3*D$1</f>
        <v/>
      </c>
      <c r="E3" s="2">
        <f>$A3*E$1</f>
        <v/>
      </c>
      <c r="F3" s="2">
        <f>$A3*F$1</f>
        <v/>
      </c>
    </row>
    <row r="4">
      <c r="A4" s="2" t="n">
        <v>3</v>
      </c>
      <c r="B4" s="2">
        <f>$A4*B$1</f>
        <v/>
      </c>
      <c r="C4" s="2">
        <f>$A4*C$1</f>
        <v/>
      </c>
      <c r="D4" s="2">
        <f>$A4*D$1</f>
        <v/>
      </c>
      <c r="E4" s="2">
        <f>$A4*E$1</f>
        <v/>
      </c>
      <c r="F4" s="2">
        <f>$A4*F$1</f>
        <v/>
      </c>
    </row>
    <row r="5">
      <c r="A5" s="2" t="n">
        <v>4</v>
      </c>
      <c r="B5" s="2">
        <f>$A5*B$1</f>
        <v/>
      </c>
      <c r="C5" s="2">
        <f>$A5*C$1</f>
        <v/>
      </c>
      <c r="D5" s="2">
        <f>$A5*D$1</f>
        <v/>
      </c>
      <c r="E5" s="2">
        <f>$A5*E$1</f>
        <v/>
      </c>
      <c r="F5" s="2">
        <f>$A5*F$1</f>
        <v/>
      </c>
    </row>
    <row r="6">
      <c r="A6" s="2" t="n">
        <v>5</v>
      </c>
      <c r="B6" s="2">
        <f>$A6*B$1</f>
        <v/>
      </c>
      <c r="C6" s="2">
        <f>$A6*C$1</f>
        <v/>
      </c>
      <c r="D6" s="2">
        <f>$A6*D$1</f>
        <v/>
      </c>
      <c r="E6" s="2">
        <f>$A6*E$1</f>
        <v/>
      </c>
      <c r="F6" s="2">
        <f>$A6*F$1</f>
        <v/>
      </c>
    </row>
  </sheetData>
  <pageMargins left="0.4" right="0.4" top="0.5" bottom="0.5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Месяц</t>
        </is>
      </c>
      <c r="B1" s="1" t="inlineStr">
        <is>
          <t>Новгород</t>
        </is>
      </c>
      <c r="C1" s="1" t="inlineStr">
        <is>
          <t>Сочи</t>
        </is>
      </c>
      <c r="D1" s="1" t="inlineStr">
        <is>
          <t>Уфа</t>
        </is>
      </c>
      <c r="E1" s="1" t="inlineStr">
        <is>
          <t>Москва</t>
        </is>
      </c>
      <c r="F1" s="1" t="inlineStr">
        <is>
          <t>Среднее</t>
        </is>
      </c>
    </row>
    <row r="2">
      <c r="A2" s="2" t="inlineStr">
        <is>
          <t>Февраль</t>
        </is>
      </c>
      <c r="B2" s="4" t="n">
        <v>11</v>
      </c>
      <c r="C2" s="4" t="n">
        <v>25</v>
      </c>
      <c r="D2" s="4" t="n">
        <v>7</v>
      </c>
      <c r="E2" s="4" t="n">
        <v>13</v>
      </c>
      <c r="F2" s="4">
        <f>AVERAGE(B2:E2)</f>
        <v/>
      </c>
    </row>
    <row r="3">
      <c r="A3" s="2" t="inlineStr">
        <is>
          <t>Март</t>
        </is>
      </c>
      <c r="B3" s="4" t="n">
        <v>18</v>
      </c>
      <c r="C3" s="4" t="n">
        <v>28</v>
      </c>
      <c r="D3" s="4" t="n">
        <v>9</v>
      </c>
      <c r="E3" s="4" t="n">
        <v>19</v>
      </c>
      <c r="F3" s="4">
        <f>AVERAGE(B3:E3)</f>
        <v/>
      </c>
    </row>
    <row r="4">
      <c r="A4" s="2" t="inlineStr">
        <is>
          <t>Апрель</t>
        </is>
      </c>
      <c r="B4" s="4" t="n">
        <v>14</v>
      </c>
      <c r="C4" s="4" t="n">
        <v>24</v>
      </c>
      <c r="D4" s="4" t="n">
        <v>12</v>
      </c>
      <c r="E4" s="4" t="n">
        <v>16</v>
      </c>
      <c r="F4" s="4">
        <f>AVERAGE(B4:E4)</f>
        <v/>
      </c>
    </row>
    <row r="5">
      <c r="A5" s="2" t="inlineStr">
        <is>
          <t>Май</t>
        </is>
      </c>
      <c r="B5" s="4" t="n">
        <v>12</v>
      </c>
      <c r="C5" s="4" t="n">
        <v>22</v>
      </c>
      <c r="D5" s="4" t="n">
        <v>15</v>
      </c>
      <c r="E5" s="4" t="n">
        <v>17</v>
      </c>
      <c r="F5" s="4">
        <f>AVERAGE(B5:E5)</f>
        <v/>
      </c>
    </row>
    <row r="6">
      <c r="A6" s="2" t="inlineStr">
        <is>
          <t>Июнь</t>
        </is>
      </c>
      <c r="B6" s="4" t="n">
        <v>16</v>
      </c>
      <c r="C6" s="4" t="n">
        <v>24</v>
      </c>
      <c r="D6" s="4" t="n">
        <v>19</v>
      </c>
      <c r="E6" s="4" t="n">
        <v>20</v>
      </c>
      <c r="F6" s="4">
        <f>AVERAGE(B6:E6)</f>
        <v/>
      </c>
    </row>
    <row r="7">
      <c r="A7" s="2" t="inlineStr">
        <is>
          <t>Июль</t>
        </is>
      </c>
      <c r="B7" s="4" t="n">
        <v>21</v>
      </c>
      <c r="C7" s="4" t="n">
        <v>30</v>
      </c>
      <c r="D7" s="4" t="n">
        <v>18</v>
      </c>
      <c r="E7" s="4" t="n">
        <v>22</v>
      </c>
      <c r="F7" s="4">
        <f>AVERAGE(B7:E7)</f>
        <v/>
      </c>
    </row>
    <row r="8">
      <c r="A8" s="2" t="inlineStr">
        <is>
          <t>Август</t>
        </is>
      </c>
      <c r="B8" s="4" t="n">
        <v>13</v>
      </c>
      <c r="C8" s="4" t="n">
        <v>27</v>
      </c>
      <c r="D8" s="4" t="n">
        <v>14</v>
      </c>
      <c r="E8" s="4" t="n">
        <v>18</v>
      </c>
      <c r="F8" s="4">
        <f>AVERAGE(B8:E8)</f>
        <v/>
      </c>
    </row>
    <row r="9">
      <c r="A9" s="2" t="inlineStr">
        <is>
          <t>Минимальная</t>
        </is>
      </c>
      <c r="B9" s="4">
        <f>MIN(B2:B8)</f>
        <v/>
      </c>
      <c r="C9" s="4">
        <f>MIN(C2:C8)</f>
        <v/>
      </c>
      <c r="D9" s="4">
        <f>MIN(D2:D8)</f>
        <v/>
      </c>
      <c r="E9" s="4">
        <f>MIN(E2:E8)</f>
        <v/>
      </c>
      <c r="F9" s="4">
        <f>MIN(F2:F8)</f>
        <v/>
      </c>
    </row>
    <row r="10">
      <c r="A10" s="2" t="inlineStr">
        <is>
          <t>Максимальная</t>
        </is>
      </c>
      <c r="B10" s="4">
        <f>MAX(B2:B8)</f>
        <v/>
      </c>
      <c r="C10" s="4">
        <f>MAX(C2:C8)</f>
        <v/>
      </c>
      <c r="D10" s="4">
        <f>MAX(D2:D8)</f>
        <v/>
      </c>
      <c r="E10" s="4">
        <f>MAX(E2:E8)</f>
        <v/>
      </c>
      <c r="F10" s="4">
        <f>MAX(F2:F8)</f>
        <v/>
      </c>
    </row>
  </sheetData>
  <conditionalFormatting sqref="B2:E8">
    <cfRule type="cellIs" priority="1" operator="between" dxfId="0">
      <formula>0</formula>
      <formula>12</formula>
    </cfRule>
    <cfRule type="cellIs" priority="2" operator="between" dxfId="1">
      <formula>12.0001</formula>
      <formula>18</formula>
    </cfRule>
    <cfRule type="cellIs" priority="3" operator="greaterThan" dxfId="2">
      <formula>18</formula>
    </cfRule>
  </conditionalFormatting>
  <pageMargins left="0.4" right="0.4" top="0.5" bottom="0.5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30" customWidth="1" min="4" max="4"/>
  </cols>
  <sheetData>
    <row r="1">
      <c r="A1" s="5" t="inlineStr">
        <is>
          <t>Дата</t>
        </is>
      </c>
      <c r="B1" s="5" t="inlineStr">
        <is>
          <t>Время</t>
        </is>
      </c>
      <c r="C1" s="5" t="inlineStr">
        <is>
          <t>Аудитория</t>
        </is>
      </c>
      <c r="D1" s="5" t="inlineStr">
        <is>
          <t>Группы</t>
        </is>
      </c>
    </row>
    <row r="2">
      <c r="A2" s="6" t="inlineStr">
        <is>
          <t>Суббота, 22.05.2021</t>
        </is>
      </c>
      <c r="B2" s="6" t="inlineStr">
        <is>
          <t>09.00:10.30</t>
        </is>
      </c>
      <c r="C2" s="6" t="inlineStr">
        <is>
          <t>520</t>
        </is>
      </c>
      <c r="D2" s="6" t="inlineStr">
        <is>
          <t>Ув-741, Мв-741</t>
        </is>
      </c>
    </row>
    <row r="3">
      <c r="A3" s="6" t="inlineStr">
        <is>
          <t>Суббота, 22.05.2021</t>
        </is>
      </c>
      <c r="B3" s="6" t="inlineStr">
        <is>
          <t>10.40:12.10</t>
        </is>
      </c>
      <c r="C3" s="6" t="inlineStr"/>
      <c r="D3" s="6" t="inlineStr"/>
    </row>
    <row r="4">
      <c r="A4" s="6" t="inlineStr">
        <is>
          <t>Суббота, 22.05.2021</t>
        </is>
      </c>
      <c r="B4" s="6" t="inlineStr">
        <is>
          <t>12.40:14.10</t>
        </is>
      </c>
      <c r="C4" s="6" t="inlineStr">
        <is>
          <t>520</t>
        </is>
      </c>
      <c r="D4" s="6" t="inlineStr">
        <is>
          <t>Эв-741</t>
        </is>
      </c>
    </row>
    <row r="5">
      <c r="A5" s="6" t="inlineStr">
        <is>
          <t>Суббота, 22.05.2021</t>
        </is>
      </c>
      <c r="B5" s="6" t="inlineStr">
        <is>
          <t>14.20:15.50</t>
        </is>
      </c>
      <c r="C5" s="6" t="inlineStr"/>
      <c r="D5" s="6" t="inlineStr"/>
    </row>
    <row r="6">
      <c r="A6" s="6" t="inlineStr">
        <is>
          <t>Пятница, 28.05.2021</t>
        </is>
      </c>
      <c r="B6" s="6" t="inlineStr">
        <is>
          <t>17.40:19.10</t>
        </is>
      </c>
      <c r="C6" s="6" t="inlineStr">
        <is>
          <t>420</t>
        </is>
      </c>
      <c r="D6" s="6" t="inlineStr">
        <is>
          <t>Мв-721, Жв-721, Эв-721</t>
        </is>
      </c>
    </row>
    <row r="7">
      <c r="A7" s="6" t="inlineStr">
        <is>
          <t>Пятница, 28.05.2021</t>
        </is>
      </c>
      <c r="B7" s="6" t="inlineStr">
        <is>
          <t>19.20:20.50</t>
        </is>
      </c>
      <c r="C7" s="6" t="inlineStr"/>
      <c r="D7" s="6" t="inlineStr"/>
    </row>
    <row r="8">
      <c r="A8" s="6" t="inlineStr">
        <is>
          <t>Суббота, 29.05.2021</t>
        </is>
      </c>
      <c r="B8" s="6" t="inlineStr">
        <is>
          <t>09.00:10.30</t>
        </is>
      </c>
      <c r="C8" s="6" t="inlineStr">
        <is>
          <t>420</t>
        </is>
      </c>
      <c r="D8" s="6" t="inlineStr">
        <is>
          <t>ВУв-641, ВЭв-641</t>
        </is>
      </c>
    </row>
    <row r="9">
      <c r="A9" s="6" t="inlineStr">
        <is>
          <t>Суббота, 29.05.2021</t>
        </is>
      </c>
      <c r="B9" s="6" t="inlineStr">
        <is>
          <t>10.40:12.10</t>
        </is>
      </c>
      <c r="C9" s="6" t="inlineStr"/>
      <c r="D9" s="6" t="inlineStr"/>
    </row>
    <row r="10">
      <c r="A10" s="6" t="inlineStr">
        <is>
          <t>Понедельник, 31.05.2021</t>
        </is>
      </c>
      <c r="B10" s="6" t="inlineStr">
        <is>
          <t>17.40</t>
        </is>
      </c>
      <c r="C10" s="6" t="inlineStr">
        <is>
          <t>420</t>
        </is>
      </c>
      <c r="D10" s="6" t="inlineStr">
        <is>
          <t>Мв-721, Жв-721, Эв-721</t>
        </is>
      </c>
    </row>
  </sheetData>
  <pageMargins left="0.4" right="0.4" top="0.5" bottom="0.5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7" t="inlineStr">
        <is>
          <t>Фамилия</t>
        </is>
      </c>
      <c r="C1" s="1" t="inlineStr">
        <is>
          <t>Лежа</t>
        </is>
      </c>
      <c r="D1" s="1" t="inlineStr">
        <is>
          <t>С колена</t>
        </is>
      </c>
      <c r="E1" s="1" t="inlineStr">
        <is>
          <t>Стоя</t>
        </is>
      </c>
      <c r="F1" s="1" t="inlineStr">
        <is>
          <t>Сумма</t>
        </is>
      </c>
      <c r="G1" s="1" t="inlineStr">
        <is>
          <t>Отобран</t>
        </is>
      </c>
    </row>
    <row r="2">
      <c r="A2" s="2" t="n">
        <v>1</v>
      </c>
      <c r="B2" s="8" t="inlineStr">
        <is>
          <t>Иванов И.И.</t>
        </is>
      </c>
      <c r="C2" s="2" t="n">
        <v>98</v>
      </c>
      <c r="D2" s="2" t="n">
        <v>97</v>
      </c>
      <c r="E2" s="2" t="n">
        <v>96</v>
      </c>
      <c r="F2" s="2">
        <f>SUM(C2:E2)</f>
        <v/>
      </c>
      <c r="G2" s="2">
        <f>IF(F2&gt;=290,"Да","Нет")</f>
        <v/>
      </c>
    </row>
    <row r="3">
      <c r="A3" s="2" t="n">
        <v>2</v>
      </c>
      <c r="B3" s="8" t="inlineStr">
        <is>
          <t>Петров П.П.</t>
        </is>
      </c>
      <c r="C3" s="2" t="n">
        <v>98</v>
      </c>
      <c r="D3" s="2" t="n">
        <v>96</v>
      </c>
      <c r="E3" s="2" t="n">
        <v>95</v>
      </c>
      <c r="F3" s="2">
        <f>SUM(C3:E3)</f>
        <v/>
      </c>
      <c r="G3" s="2">
        <f>IF(F3&gt;=290,"Да","Нет")</f>
        <v/>
      </c>
    </row>
    <row r="4">
      <c r="A4" s="2" t="n">
        <v>3</v>
      </c>
      <c r="B4" s="8" t="inlineStr">
        <is>
          <t>Сидоров С.С.</t>
        </is>
      </c>
      <c r="C4" s="2" t="n">
        <v>95</v>
      </c>
      <c r="D4" s="2" t="n">
        <v>96</v>
      </c>
      <c r="E4" s="2" t="n">
        <v>97</v>
      </c>
      <c r="F4" s="2">
        <f>SUM(C4:E4)</f>
        <v/>
      </c>
      <c r="G4" s="2">
        <f>IF(F4&gt;=290,"Да","Нет")</f>
        <v/>
      </c>
    </row>
    <row r="5">
      <c r="A5" s="2" t="n">
        <v>4</v>
      </c>
      <c r="B5" s="8" t="inlineStr">
        <is>
          <t>Кузнецов А.А.</t>
        </is>
      </c>
      <c r="C5" s="2" t="n">
        <v>97</v>
      </c>
      <c r="D5" s="2" t="n">
        <v>98</v>
      </c>
      <c r="E5" s="2" t="n">
        <v>96</v>
      </c>
      <c r="F5" s="2">
        <f>SUM(C5:E5)</f>
        <v/>
      </c>
      <c r="G5" s="2">
        <f>IF(F5&gt;=290,"Да","Нет")</f>
        <v/>
      </c>
    </row>
    <row r="6">
      <c r="A6" s="2" t="n">
        <v>5</v>
      </c>
      <c r="B6" s="8" t="inlineStr">
        <is>
          <t>Смирнов Д.Д.</t>
        </is>
      </c>
      <c r="C6" s="2" t="n">
        <v>94</v>
      </c>
      <c r="D6" s="2" t="n">
        <v>97</v>
      </c>
      <c r="E6" s="2" t="n">
        <v>95</v>
      </c>
      <c r="F6" s="2">
        <f>SUM(C6:E6)</f>
        <v/>
      </c>
      <c r="G6" s="2">
        <f>IF(F6&gt;=290,"Да","Нет")</f>
        <v/>
      </c>
    </row>
    <row r="7">
      <c r="A7" s="2" t="n">
        <v>6</v>
      </c>
      <c r="B7" s="8" t="inlineStr">
        <is>
          <t>Орлов Р.Р.</t>
        </is>
      </c>
      <c r="C7" s="2" t="n">
        <v>99</v>
      </c>
      <c r="D7" s="2" t="n">
        <v>97</v>
      </c>
      <c r="E7" s="2" t="n">
        <v>98</v>
      </c>
      <c r="F7" s="2">
        <f>SUM(C7:E7)</f>
        <v/>
      </c>
      <c r="G7" s="2">
        <f>IF(F7&gt;=290,"Да","Нет")</f>
        <v/>
      </c>
    </row>
    <row r="8">
      <c r="A8" s="2" t="n">
        <v>7</v>
      </c>
      <c r="B8" s="8" t="inlineStr">
        <is>
          <t>Васильев М.М.</t>
        </is>
      </c>
      <c r="C8" s="2" t="n">
        <v>96</v>
      </c>
      <c r="D8" s="2" t="n">
        <v>95</v>
      </c>
      <c r="E8" s="2" t="n">
        <v>96</v>
      </c>
      <c r="F8" s="2">
        <f>SUM(C8:E8)</f>
        <v/>
      </c>
      <c r="G8" s="2">
        <f>IF(F8&gt;=290,"Да","Нет")</f>
        <v/>
      </c>
    </row>
    <row r="9">
      <c r="A9" s="2" t="n">
        <v>8</v>
      </c>
      <c r="B9" s="8" t="inlineStr">
        <is>
          <t>Морозов Н.Н.</t>
        </is>
      </c>
      <c r="C9" s="2" t="n">
        <v>97</v>
      </c>
      <c r="D9" s="2" t="n">
        <v>99</v>
      </c>
      <c r="E9" s="2" t="n">
        <v>95</v>
      </c>
      <c r="F9" s="2">
        <f>SUM(C9:E9)</f>
        <v/>
      </c>
      <c r="G9" s="2">
        <f>IF(F9&gt;=290,"Да","Нет")</f>
        <v/>
      </c>
    </row>
    <row r="10">
      <c r="A10" s="2" t="n">
        <v>9</v>
      </c>
      <c r="B10" s="8" t="inlineStr">
        <is>
          <t>Федоров К.К.</t>
        </is>
      </c>
      <c r="C10" s="2" t="n">
        <v>93</v>
      </c>
      <c r="D10" s="2" t="n">
        <v>94</v>
      </c>
      <c r="E10" s="2" t="n">
        <v>96</v>
      </c>
      <c r="F10" s="2">
        <f>SUM(C10:E10)</f>
        <v/>
      </c>
      <c r="G10" s="2">
        <f>IF(F10&gt;=290,"Да","Нет")</f>
        <v/>
      </c>
    </row>
    <row r="11">
      <c r="A11" s="2" t="n">
        <v>10</v>
      </c>
      <c r="B11" s="8" t="inlineStr">
        <is>
          <t>Егоров Е.Е.</t>
        </is>
      </c>
      <c r="C11" s="2" t="n">
        <v>97</v>
      </c>
      <c r="D11" s="2" t="n">
        <v>98</v>
      </c>
      <c r="E11" s="2" t="n">
        <v>96</v>
      </c>
      <c r="F11" s="2">
        <f>SUM(C11:E11)</f>
        <v/>
      </c>
      <c r="G11" s="2">
        <f>IF(F11&gt;=290,"Да","Нет")</f>
        <v/>
      </c>
    </row>
  </sheetData>
  <pageMargins left="0.4" right="0.4" top="0.5" bottom="0.5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28" customWidth="1" min="4" max="4"/>
  </cols>
  <sheetData>
    <row r="1">
      <c r="A1" s="1" t="inlineStr">
        <is>
          <t>ФИО</t>
        </is>
      </c>
      <c r="B1" s="7" t="inlineStr">
        <is>
          <t>Количество продаж</t>
        </is>
      </c>
      <c r="C1" s="1" t="inlineStr">
        <is>
          <t>Размер изменения оплаты труда</t>
        </is>
      </c>
      <c r="D1" s="1" t="inlineStr">
        <is>
          <t>Размер оплаты труда за месяц</t>
        </is>
      </c>
    </row>
    <row r="2">
      <c r="A2" s="2" t="inlineStr">
        <is>
          <t>Иванов И.И.</t>
        </is>
      </c>
      <c r="B2" s="8" t="n">
        <v>24</v>
      </c>
      <c r="C2" s="9">
        <f>IF(B2&gt;20,(B2-20)*50,IF(B2&lt;20,-(20-B2)*100,0))</f>
        <v/>
      </c>
      <c r="D2" s="9">
        <f>2000+C2</f>
        <v/>
      </c>
    </row>
    <row r="3">
      <c r="A3" s="2" t="inlineStr">
        <is>
          <t>Петров П.П.</t>
        </is>
      </c>
      <c r="B3" s="8" t="n">
        <v>18</v>
      </c>
      <c r="C3" s="9">
        <f>IF(B3&gt;20,(B3-20)*50,IF(B3&lt;20,-(20-B3)*100,0))</f>
        <v/>
      </c>
      <c r="D3" s="9">
        <f>2000+C3</f>
        <v/>
      </c>
    </row>
    <row r="4">
      <c r="A4" s="2" t="inlineStr">
        <is>
          <t>Сидоров С.С.</t>
        </is>
      </c>
      <c r="B4" s="8" t="n">
        <v>20</v>
      </c>
      <c r="C4" s="9">
        <f>IF(B4&gt;20,(B4-20)*50,IF(B4&lt;20,-(20-B4)*100,0))</f>
        <v/>
      </c>
      <c r="D4" s="9">
        <f>2000+C4</f>
        <v/>
      </c>
    </row>
    <row r="5">
      <c r="A5" s="2" t="inlineStr">
        <is>
          <t>Кузнецова А.А.</t>
        </is>
      </c>
      <c r="B5" s="8" t="n">
        <v>27</v>
      </c>
      <c r="C5" s="9">
        <f>IF(B5&gt;20,(B5-20)*50,IF(B5&lt;20,-(20-B5)*100,0))</f>
        <v/>
      </c>
      <c r="D5" s="9">
        <f>2000+C5</f>
        <v/>
      </c>
    </row>
    <row r="6">
      <c r="A6" s="2" t="inlineStr">
        <is>
          <t>Смирнова Е.Е.</t>
        </is>
      </c>
      <c r="B6" s="8" t="n">
        <v>15</v>
      </c>
      <c r="C6" s="9">
        <f>IF(B6&gt;20,(B6-20)*50,IF(B6&lt;20,-(20-B6)*100,0))</f>
        <v/>
      </c>
      <c r="D6" s="9">
        <f>2000+C6</f>
        <v/>
      </c>
    </row>
    <row r="7">
      <c r="A7" s="2" t="inlineStr">
        <is>
          <t>Орлова М.М.</t>
        </is>
      </c>
      <c r="B7" s="8" t="n">
        <v>22</v>
      </c>
      <c r="C7" s="9">
        <f>IF(B7&gt;20,(B7-20)*50,IF(B7&lt;20,-(20-B7)*100,0))</f>
        <v/>
      </c>
      <c r="D7" s="9">
        <f>2000+C7</f>
        <v/>
      </c>
    </row>
    <row r="8">
      <c r="A8" s="2" t="inlineStr">
        <is>
          <t>Морозов Н.Н.</t>
        </is>
      </c>
      <c r="B8" s="8" t="n">
        <v>19</v>
      </c>
      <c r="C8" s="9">
        <f>IF(B8&gt;20,(B8-20)*50,IF(B8&lt;20,-(20-B8)*100,0))</f>
        <v/>
      </c>
      <c r="D8" s="9">
        <f>2000+C8</f>
        <v/>
      </c>
    </row>
    <row r="9">
      <c r="A9" s="2" t="inlineStr">
        <is>
          <t>Федоров К.К.</t>
        </is>
      </c>
      <c r="B9" s="8" t="n">
        <v>30</v>
      </c>
      <c r="C9" s="9">
        <f>IF(B9&gt;20,(B9-20)*50,IF(B9&lt;20,-(20-B9)*100,0))</f>
        <v/>
      </c>
      <c r="D9" s="9">
        <f>2000+C9</f>
        <v/>
      </c>
    </row>
    <row r="10">
      <c r="A10" s="2" t="inlineStr">
        <is>
          <t>Егоров Р.Р.</t>
        </is>
      </c>
      <c r="B10" s="8" t="n">
        <v>17</v>
      </c>
      <c r="C10" s="9">
        <f>IF(B10&gt;20,(B10-20)*50,IF(B10&lt;20,-(20-B10)*100,0))</f>
        <v/>
      </c>
      <c r="D10" s="9">
        <f>2000+C10</f>
        <v/>
      </c>
    </row>
    <row r="11">
      <c r="A11" s="2" t="inlineStr">
        <is>
          <t>Васильев Д.Д.</t>
        </is>
      </c>
      <c r="B11" s="8" t="n">
        <v>21</v>
      </c>
      <c r="C11" s="9">
        <f>IF(B11&gt;20,(B11-20)*50,IF(B11&lt;20,-(20-B11)*100,0))</f>
        <v/>
      </c>
      <c r="D11" s="9">
        <f>2000+C11</f>
        <v/>
      </c>
    </row>
  </sheetData>
  <pageMargins left="0.4" right="0.4" top="0.5" bottom="0.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4" customWidth="1" min="4" max="4"/>
  </cols>
  <sheetData>
    <row r="1">
      <c r="A1" s="1" t="inlineStr">
        <is>
          <t>№</t>
        </is>
      </c>
      <c r="B1" s="7" t="inlineStr">
        <is>
          <t>Ф.И.О.</t>
        </is>
      </c>
      <c r="C1" s="1" t="inlineStr">
        <is>
          <t>Рост</t>
        </is>
      </c>
      <c r="D1" s="1" t="inlineStr">
        <is>
          <t>Решение</t>
        </is>
      </c>
    </row>
    <row r="2">
      <c r="A2" s="2" t="n">
        <v>1</v>
      </c>
      <c r="B2" s="8" t="inlineStr">
        <is>
          <t>Иванов И.И.</t>
        </is>
      </c>
      <c r="C2" s="2" t="n">
        <v>172</v>
      </c>
      <c r="D2" s="2">
        <f>IF(AND(C2&gt;=168,C2&lt;=178),"принят","нет")</f>
        <v/>
      </c>
    </row>
    <row r="3">
      <c r="A3" s="2" t="n">
        <v>2</v>
      </c>
      <c r="B3" s="8" t="inlineStr">
        <is>
          <t>Петрова Л.П.</t>
        </is>
      </c>
      <c r="C3" s="2" t="n">
        <v>180</v>
      </c>
      <c r="D3" s="2">
        <f>IF(AND(C3&gt;=168,C3&lt;=178),"принят","нет")</f>
        <v/>
      </c>
    </row>
    <row r="4">
      <c r="A4" s="2" t="n">
        <v>3</v>
      </c>
      <c r="B4" s="8" t="inlineStr">
        <is>
          <t>Сидорова А.А.</t>
        </is>
      </c>
      <c r="C4" s="2" t="n">
        <v>168</v>
      </c>
      <c r="D4" s="2">
        <f>IF(AND(C4&gt;=168,C4&lt;=178),"принят","нет")</f>
        <v/>
      </c>
    </row>
    <row r="5">
      <c r="A5" s="2" t="n">
        <v>4</v>
      </c>
      <c r="B5" s="8" t="inlineStr">
        <is>
          <t>Кузнецов Р.Р.</t>
        </is>
      </c>
      <c r="C5" s="2" t="n">
        <v>178</v>
      </c>
      <c r="D5" s="2">
        <f>IF(AND(C5&gt;=168,C5&lt;=178),"принят","нет")</f>
        <v/>
      </c>
    </row>
    <row r="6">
      <c r="A6" s="2" t="n">
        <v>5</v>
      </c>
      <c r="B6" s="8" t="inlineStr">
        <is>
          <t>Смирнова Е.Е.</t>
        </is>
      </c>
      <c r="C6" s="2" t="n">
        <v>165</v>
      </c>
      <c r="D6" s="2">
        <f>IF(AND(C6&gt;=168,C6&lt;=178),"принят","нет")</f>
        <v/>
      </c>
    </row>
    <row r="7">
      <c r="A7" s="2" t="n">
        <v>6</v>
      </c>
      <c r="B7" s="8" t="inlineStr">
        <is>
          <t>Орлов М.М.</t>
        </is>
      </c>
      <c r="C7" s="2" t="n">
        <v>174</v>
      </c>
      <c r="D7" s="2">
        <f>IF(AND(C7&gt;=168,C7&lt;=178),"принят","нет")</f>
        <v/>
      </c>
    </row>
    <row r="8">
      <c r="A8" s="2" t="n">
        <v>7</v>
      </c>
      <c r="B8" s="8" t="inlineStr">
        <is>
          <t>Морозова Н.Н.</t>
        </is>
      </c>
      <c r="C8" s="2" t="n">
        <v>181</v>
      </c>
      <c r="D8" s="2">
        <f>IF(AND(C8&gt;=168,C8&lt;=178),"принят","нет")</f>
        <v/>
      </c>
    </row>
    <row r="9">
      <c r="A9" s="2" t="n">
        <v>8</v>
      </c>
      <c r="B9" s="8" t="inlineStr">
        <is>
          <t>Федорова К.К.</t>
        </is>
      </c>
      <c r="C9" s="2" t="n">
        <v>170</v>
      </c>
      <c r="D9" s="2">
        <f>IF(AND(C9&gt;=168,C9&lt;=178),"принят","нет")</f>
        <v/>
      </c>
    </row>
    <row r="10">
      <c r="A10" s="2" t="n">
        <v>9</v>
      </c>
      <c r="B10" s="8" t="inlineStr">
        <is>
          <t>Васильев Д.Д.</t>
        </is>
      </c>
      <c r="C10" s="2" t="n">
        <v>176</v>
      </c>
      <c r="D10" s="2">
        <f>IF(AND(C10&gt;=168,C10&lt;=178),"принят","нет")</f>
        <v/>
      </c>
    </row>
    <row r="11">
      <c r="A11" s="2" t="n">
        <v>10</v>
      </c>
      <c r="B11" s="8" t="inlineStr">
        <is>
          <t>Егорова Е.Ф.</t>
        </is>
      </c>
      <c r="C11" s="2" t="n">
        <v>167</v>
      </c>
      <c r="D11" s="2">
        <f>IF(AND(C11&gt;=168,C11&lt;=178),"принят","нет")</f>
        <v/>
      </c>
    </row>
  </sheetData>
  <pageMargins left="0.4" right="0.4" top="0.5" bottom="0.5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№</t>
        </is>
      </c>
      <c r="B1" s="1" t="inlineStr">
        <is>
          <t>Группа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</row>
    <row r="2">
      <c r="A2" s="2" t="n">
        <v>1</v>
      </c>
      <c r="B2" s="2" t="inlineStr">
        <is>
          <t>Россия</t>
        </is>
      </c>
      <c r="C2" s="2" t="n">
        <v>58</v>
      </c>
      <c r="D2" s="2" t="n">
        <v>54</v>
      </c>
      <c r="E2" s="2" t="n">
        <v>51</v>
      </c>
      <c r="F2" s="2" t="n">
        <v>48</v>
      </c>
    </row>
    <row r="3">
      <c r="A3" s="2" t="n">
        <v>2</v>
      </c>
      <c r="B3" s="2" t="inlineStr">
        <is>
          <t>Китай</t>
        </is>
      </c>
      <c r="C3" s="2" t="n">
        <v>24</v>
      </c>
      <c r="D3" s="2" t="n">
        <v>25</v>
      </c>
      <c r="E3" s="2" t="n">
        <v>31</v>
      </c>
      <c r="F3" s="2" t="n">
        <v>38</v>
      </c>
    </row>
    <row r="4">
      <c r="A4" s="2" t="n">
        <v>3</v>
      </c>
      <c r="B4" s="2" t="inlineStr">
        <is>
          <t>США</t>
        </is>
      </c>
      <c r="C4" s="2" t="n">
        <v>67</v>
      </c>
      <c r="D4" s="2" t="n">
        <v>63</v>
      </c>
      <c r="E4" s="2" t="n">
        <v>61</v>
      </c>
      <c r="F4" s="2" t="n">
        <v>58</v>
      </c>
    </row>
    <row r="5">
      <c r="A5" s="2" t="n">
        <v>4</v>
      </c>
      <c r="B5" s="2" t="inlineStr">
        <is>
          <t>Украина</t>
        </is>
      </c>
      <c r="C5" s="2" t="n">
        <v>48</v>
      </c>
      <c r="D5" s="2" t="n">
        <v>46</v>
      </c>
      <c r="E5" s="2" t="n">
        <v>40</v>
      </c>
      <c r="F5" s="2" t="n">
        <v>37</v>
      </c>
    </row>
  </sheetData>
  <pageMargins left="0.4" right="0.4" top="0.5" bottom="0.5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2026-05-06T23:22:21Z</dcterms:created>
  <dcterms:modified xmlns:dcterms="http://purl.org/dc/terms/" xmlns:xsi="http://www.w3.org/2001/XMLSchema-instance" xsi:type="dcterms:W3CDTF">2026-05-06T23:22:21Z</dcterms:modified>
</cp:coreProperties>
</file>